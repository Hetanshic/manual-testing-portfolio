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this  chauhan\Downloads\Manual Testing Project\"/>
    </mc:Choice>
  </mc:AlternateContent>
  <xr:revisionPtr revIDLastSave="0" documentId="13_ncr:1_{532EEB17-A497-463F-A905-29625F13350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Cases" sheetId="1" r:id="rId1"/>
    <sheet name="Bug Reports" sheetId="2" r:id="rId2"/>
    <sheet name="Summary Report" sheetId="3" r:id="rId3"/>
  </sheets>
  <definedNames>
    <definedName name="_xlnm._FilterDatabase" localSheetId="1" hidden="1">'Bug Reports'!$A$1:$I$3</definedName>
    <definedName name="_xlnm._FilterDatabase" localSheetId="0" hidden="1">'Test Cases'!$A$1:$J$31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3" l="1"/>
  <c r="B11" i="3"/>
  <c r="B10" i="3"/>
  <c r="B9" i="3"/>
  <c r="B8" i="3"/>
  <c r="B6" i="3"/>
  <c r="B5" i="3"/>
  <c r="B7" i="3" s="1"/>
  <c r="B4" i="3"/>
</calcChain>
</file>

<file path=xl/sharedStrings.xml><?xml version="1.0" encoding="utf-8"?>
<sst xmlns="http://schemas.openxmlformats.org/spreadsheetml/2006/main" count="320" uniqueCount="198">
  <si>
    <t>TC ID</t>
  </si>
  <si>
    <t>Feature</t>
  </si>
  <si>
    <t>Test Case Title</t>
  </si>
  <si>
    <t>Preconditions</t>
  </si>
  <si>
    <t>Steps</t>
  </si>
  <si>
    <t>Test Data</t>
  </si>
  <si>
    <t>Expected Result</t>
  </si>
  <si>
    <t>Actual Result</t>
  </si>
  <si>
    <t>Status</t>
  </si>
  <si>
    <t>Severity (if Fail)</t>
  </si>
  <si>
    <t>TC_001</t>
  </si>
  <si>
    <t>Login</t>
  </si>
  <si>
    <t>Login with valid credentials</t>
  </si>
  <si>
    <t>Browser open at saucedemo.com</t>
  </si>
  <si>
    <t>1. Enter username 'standard_user'
2. Enter password 'secret_sauce'
3. Click Login</t>
  </si>
  <si>
    <t>standard_user / secret_sauce</t>
  </si>
  <si>
    <t>User is redirected to the Products page</t>
  </si>
  <si>
    <t>As expected — redirected to Products page</t>
  </si>
  <si>
    <t>Pass</t>
  </si>
  <si>
    <t>TC_002</t>
  </si>
  <si>
    <t>Login with invalid username</t>
  </si>
  <si>
    <t>1. Enter username 'wrong_user'
2. Enter password 'secret_sauce'
3. Click Login</t>
  </si>
  <si>
    <t>wrong_user / secret_sauce</t>
  </si>
  <si>
    <t>Error message: username and password do not match</t>
  </si>
  <si>
    <t>Error shown as expected</t>
  </si>
  <si>
    <t>TC_003</t>
  </si>
  <si>
    <t>Login with invalid password</t>
  </si>
  <si>
    <t>1. Enter username 'standard_user'
2. Enter password 'wrongpass'
3. Click Login</t>
  </si>
  <si>
    <t>standard_user / wrongpass</t>
  </si>
  <si>
    <t>TC_004</t>
  </si>
  <si>
    <t>Login with empty username field</t>
  </si>
  <si>
    <t>1. Leave username blank
2. Enter password 'secret_sauce'
3. Click Login</t>
  </si>
  <si>
    <t>(blank) / secret_sauce</t>
  </si>
  <si>
    <t>Error message: Username is required</t>
  </si>
  <si>
    <t>TC_005</t>
  </si>
  <si>
    <t>Login with empty password field</t>
  </si>
  <si>
    <t>1. Enter username 'standard_user'
2. Leave password blank
3. Click Login</t>
  </si>
  <si>
    <t>standard_user / (blank)</t>
  </si>
  <si>
    <t>Error message: Password is required</t>
  </si>
  <si>
    <t>TC_006</t>
  </si>
  <si>
    <t>Login with both fields empty</t>
  </si>
  <si>
    <t>1. Leave both fields blank
2. Click Login</t>
  </si>
  <si>
    <t>(blank) / (blank)</t>
  </si>
  <si>
    <t>TC_007</t>
  </si>
  <si>
    <t>Login with locked out user</t>
  </si>
  <si>
    <t>1. Enter username 'locked_out_user'
2. Enter password 'secret_sauce'
3. Click Login</t>
  </si>
  <si>
    <t>locked_out_user / secret_sauce</t>
  </si>
  <si>
    <t>Error message stating this user has been locked out</t>
  </si>
  <si>
    <t>TC_008</t>
  </si>
  <si>
    <t>Username field is case sensitive</t>
  </si>
  <si>
    <t>1. Enter username 'STANDARD_USER'
2. Enter password 'secret_sauce'
3. Click Login</t>
  </si>
  <si>
    <t>STANDARD_USER / secret_sauce</t>
  </si>
  <si>
    <t>Login fails — username should be case sensitive</t>
  </si>
  <si>
    <t>Login failed as expected</t>
  </si>
  <si>
    <t>TC_009</t>
  </si>
  <si>
    <t>Product Listing</t>
  </si>
  <si>
    <t>Verify all 6 products display on load</t>
  </si>
  <si>
    <t>Logged in as standard_user</t>
  </si>
  <si>
    <t>1. Observe Products page after login</t>
  </si>
  <si>
    <t>N/A</t>
  </si>
  <si>
    <t>All 6 SauceDemo products display with name, image, price, and 'Add to cart' button</t>
  </si>
  <si>
    <t>All 6 products displayed correctly</t>
  </si>
  <si>
    <t>TC_010</t>
  </si>
  <si>
    <t>Sort products by Name (A to Z)</t>
  </si>
  <si>
    <t>1. Open sort dropdown
2. Select 'Name (A to Z)'</t>
  </si>
  <si>
    <t>Products reorder alphabetically A→Z</t>
  </si>
  <si>
    <t>Sorted correctly</t>
  </si>
  <si>
    <t>TC_011</t>
  </si>
  <si>
    <t>Sort products by Name (Z to A)</t>
  </si>
  <si>
    <t>1. Open sort dropdown
2. Select 'Name (Z to A)'</t>
  </si>
  <si>
    <t>Products reorder alphabetically Z→A</t>
  </si>
  <si>
    <t>TC_012</t>
  </si>
  <si>
    <t>Sort products by Price (low to high)</t>
  </si>
  <si>
    <t>1. Open sort dropdown
2. Select 'Price (low to high)'</t>
  </si>
  <si>
    <t>Products reorder by ascending price</t>
  </si>
  <si>
    <t>TC_013</t>
  </si>
  <si>
    <t>Sort products by Price (high to low)</t>
  </si>
  <si>
    <t>1. Open sort dropdown
2. Select 'Price (high to low)'</t>
  </si>
  <si>
    <t>Products reorder by descending price</t>
  </si>
  <si>
    <t>TC_014</t>
  </si>
  <si>
    <t>Product Details</t>
  </si>
  <si>
    <t>Open product details page</t>
  </si>
  <si>
    <t>1. Click a product name/image from listing</t>
  </si>
  <si>
    <t>Product details page opens showing full description, price, and Add to cart button</t>
  </si>
  <si>
    <t>Worked as expected</t>
  </si>
  <si>
    <t>TC_015</t>
  </si>
  <si>
    <t>Cart</t>
  </si>
  <si>
    <t>Add single item to cart</t>
  </si>
  <si>
    <t>1. Click 'Add to cart' on any product</t>
  </si>
  <si>
    <t>Cart badge count updates to 1; button changes to 'Remove'</t>
  </si>
  <si>
    <t>TC_016</t>
  </si>
  <si>
    <t>Add multiple items to cart</t>
  </si>
  <si>
    <t>1. Click 'Add to cart' on 3 different products</t>
  </si>
  <si>
    <t>Cart badge count shows 3</t>
  </si>
  <si>
    <t>TC_017</t>
  </si>
  <si>
    <t>Remove item from cart via listing page</t>
  </si>
  <si>
    <t>Logged in as standard_user, 1 item in cart</t>
  </si>
  <si>
    <t>1. Click 'Remove' button on an added product</t>
  </si>
  <si>
    <t>Item removed; cart badge count decreases by 1</t>
  </si>
  <si>
    <t>TC_018</t>
  </si>
  <si>
    <t>Remove item from cart page</t>
  </si>
  <si>
    <t>Logged in as standard_user, 2 items in cart</t>
  </si>
  <si>
    <t>1. Open cart page
2. Click 'Remove' on one item</t>
  </si>
  <si>
    <t>Item is removed from the cart list and cart badge updates</t>
  </si>
  <si>
    <t>TC_019</t>
  </si>
  <si>
    <t>Cart persists after navigating pages</t>
  </si>
  <si>
    <t>1. Add item to cart
2. Navigate to product details and back to listing</t>
  </si>
  <si>
    <t>Cart badge count remains unchanged</t>
  </si>
  <si>
    <t>TC_020</t>
  </si>
  <si>
    <t>Empty cart shows no items</t>
  </si>
  <si>
    <t>1. Open cart page with no items added</t>
  </si>
  <si>
    <t>Cart page displays with no line items and no badge count shown</t>
  </si>
  <si>
    <t>TC_021</t>
  </si>
  <si>
    <t>Checkout</t>
  </si>
  <si>
    <t>Complete checkout with valid information</t>
  </si>
  <si>
    <t>Logged in as standard_user, 1+ items in cart</t>
  </si>
  <si>
    <t>1. Click Checkout
2. Enter First Name, Last Name, Zip/Postal Code
3. Click Continue
4. Click Finish</t>
  </si>
  <si>
    <t>First: John, Last: Doe, Zip: 12345</t>
  </si>
  <si>
    <t>Order completes; confirmation page shows 'Thank you for your order!'</t>
  </si>
  <si>
    <t>TC_022</t>
  </si>
  <si>
    <t>Checkout with empty First Name field</t>
  </si>
  <si>
    <t>Logged in as standard_user, item in cart</t>
  </si>
  <si>
    <t>1. Click Checkout
2. Leave First Name blank, fill others
3. Click Continue</t>
  </si>
  <si>
    <t>First: (blank), Last: Doe, Zip: 12345</t>
  </si>
  <si>
    <t>Error message: First Name is required</t>
  </si>
  <si>
    <t>TC_023</t>
  </si>
  <si>
    <t>Checkout with empty Last Name field</t>
  </si>
  <si>
    <t>1. Click Checkout
2. Leave Last Name blank, fill others
3. Click Continue</t>
  </si>
  <si>
    <t>First: John, Last: (blank), Zip: 12345</t>
  </si>
  <si>
    <t>Error message: Last Name is required</t>
  </si>
  <si>
    <t>TC_024</t>
  </si>
  <si>
    <t>Checkout with empty Zip/Postal Code field</t>
  </si>
  <si>
    <t>1. Click Checkout
2. Leave Zip blank, fill others
3. Click Continue</t>
  </si>
  <si>
    <t>First: John, Last: Doe, Zip: (blank)</t>
  </si>
  <si>
    <t>Error message: Postal Code is required</t>
  </si>
  <si>
    <t>TC_025</t>
  </si>
  <si>
    <t>Cancel checkout returns to cart</t>
  </si>
  <si>
    <t>1. Click Checkout
2. Click Cancel button</t>
  </si>
  <si>
    <t>User is returned to the cart page with items intact</t>
  </si>
  <si>
    <t>TC_026</t>
  </si>
  <si>
    <t>Order overview shows correct item total and tax</t>
  </si>
  <si>
    <t>Logged in as standard_user, items in cart</t>
  </si>
  <si>
    <t>1. Complete checkout info
2. Click Continue
3. Review Order Overview page</t>
  </si>
  <si>
    <t>Item total, tax, and final total are displayed and mathematically correct</t>
  </si>
  <si>
    <t>TC_027</t>
  </si>
  <si>
    <t>Cart empties after completing an order</t>
  </si>
  <si>
    <t>Logged in as standard_user, order completed</t>
  </si>
  <si>
    <t>1. Complete an order
2. Click 'Back Home'
3. Observe cart badge</t>
  </si>
  <si>
    <t>Cart badge no longer shows a count (cart is empty)</t>
  </si>
  <si>
    <t>TC_028</t>
  </si>
  <si>
    <t>Logout</t>
  </si>
  <si>
    <t>Logout returns user to login page</t>
  </si>
  <si>
    <t>1. Open side menu
2. Click Logout</t>
  </si>
  <si>
    <t>User is redirected to the login page</t>
  </si>
  <si>
    <t>TC_029</t>
  </si>
  <si>
    <t>Products page is inaccessible after logout (direct URL)</t>
  </si>
  <si>
    <t>Logged out</t>
  </si>
  <si>
    <t>1. After logout, manually navigate to /inventory.html</t>
  </si>
  <si>
    <t>User is redirected back to login page, not shown the Products page</t>
  </si>
  <si>
    <t>Fail</t>
  </si>
  <si>
    <t>Medium</t>
  </si>
  <si>
    <t>TC_030</t>
  </si>
  <si>
    <t>'problem_user' images display correctly</t>
  </si>
  <si>
    <t>Logged in as problem_user</t>
  </si>
  <si>
    <t>1. Login as problem_user
2. Observe product images on listing page</t>
  </si>
  <si>
    <t>problem_user / secret_sauce</t>
  </si>
  <si>
    <t>All product images should be distinct product photos</t>
  </si>
  <si>
    <t>All product images are identical (same image repeated) — see BUG_001</t>
  </si>
  <si>
    <t>Low</t>
  </si>
  <si>
    <t>Bug ID</t>
  </si>
  <si>
    <t>Related TC</t>
  </si>
  <si>
    <t>Title</t>
  </si>
  <si>
    <t>Steps to Reproduce</t>
  </si>
  <si>
    <t>Severity</t>
  </si>
  <si>
    <t>Priority</t>
  </si>
  <si>
    <t>BUG_001</t>
  </si>
  <si>
    <t>Product images identical for problem_user</t>
  </si>
  <si>
    <t>1. Log in as problem_user (password: secret_sauce)
2. Go to Products page
3. Observe product images</t>
  </si>
  <si>
    <t>Each product should display its own unique image</t>
  </si>
  <si>
    <t>All 6 products display the same (incorrect) image</t>
  </si>
  <si>
    <t>Open</t>
  </si>
  <si>
    <t>BUG_002</t>
  </si>
  <si>
    <t>Inventory page accessible via direct URL after logout</t>
  </si>
  <si>
    <t>1. Log in as standard_user
2. Log out
3. Manually enter saucedemo.com/inventory.html in the address bar</t>
  </si>
  <si>
    <t>User should be redirected to the login page since the session has ended</t>
  </si>
  <si>
    <t>Page attempts to load the inventory view instead of enforcing redirect to login</t>
  </si>
  <si>
    <t>Test Summary Report</t>
  </si>
  <si>
    <t>SauceDemo — Manual Test Execution Summary</t>
  </si>
  <si>
    <t>Total Test Cases Executed</t>
  </si>
  <si>
    <t>Passed</t>
  </si>
  <si>
    <t>Failed</t>
  </si>
  <si>
    <t>Pass Rate</t>
  </si>
  <si>
    <t>Total Bugs Logged</t>
  </si>
  <si>
    <t>Critical Severity Bugs</t>
  </si>
  <si>
    <t>High Severity Bugs</t>
  </si>
  <si>
    <t>Medium Severity Bugs</t>
  </si>
  <si>
    <t>Low Severity Bugs</t>
  </si>
  <si>
    <t>Assessment: Core functional flows (login, cart, checkout) passed all planned test cases. Two low/medium severity defects were identified related to session handling after logout and a seeded UI issue under the problem_user account. No blocking or critical defects found in the core purchase 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</si>
</sst>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6"/>
      <name val="Arial"/>
      <charset val="1"/>
    </font>
    <font>
      <i/>
      <sz val="11"/>
      <color rgb="FF555555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555555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5" fillId="0" borderId="1" xfId="0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Normal="100" workbookViewId="0">
      <pane ySplit="1" topLeftCell="A26" activePane="bottomLeft" state="frozen"/>
      <selection pane="bottomLeft" activeCell="H31" sqref="H31"/>
    </sheetView>
  </sheetViews>
  <sheetFormatPr defaultColWidth="8.6640625" defaultRowHeight="14.4" x14ac:dyDescent="0.3"/>
  <cols>
    <col min="1" max="1" width="7" customWidth="1"/>
    <col min="2" max="2" width="14" customWidth="1"/>
    <col min="3" max="3" width="26" customWidth="1"/>
    <col min="4" max="4" width="18" customWidth="1"/>
    <col min="5" max="5" width="40" customWidth="1"/>
    <col min="6" max="6" width="22" customWidth="1"/>
    <col min="7" max="8" width="32" customWidth="1"/>
    <col min="9" max="9" width="10" customWidth="1"/>
    <col min="10" max="10" width="14" customWidth="1"/>
  </cols>
  <sheetData>
    <row r="1" spans="1:10" ht="27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9.6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 t="s">
        <v>18</v>
      </c>
      <c r="J2" s="2"/>
    </row>
    <row r="3" spans="1:10" ht="39.6" x14ac:dyDescent="0.3">
      <c r="A3" s="2" t="s">
        <v>19</v>
      </c>
      <c r="B3" s="2" t="s">
        <v>11</v>
      </c>
      <c r="C3" s="2" t="s">
        <v>20</v>
      </c>
      <c r="D3" s="2" t="s">
        <v>13</v>
      </c>
      <c r="E3" s="2" t="s">
        <v>21</v>
      </c>
      <c r="F3" s="2" t="s">
        <v>22</v>
      </c>
      <c r="G3" s="2" t="s">
        <v>23</v>
      </c>
      <c r="H3" s="2" t="s">
        <v>24</v>
      </c>
      <c r="I3" s="3" t="s">
        <v>18</v>
      </c>
      <c r="J3" s="2"/>
    </row>
    <row r="4" spans="1:10" ht="39.6" x14ac:dyDescent="0.3">
      <c r="A4" s="2" t="s">
        <v>25</v>
      </c>
      <c r="B4" s="2" t="s">
        <v>11</v>
      </c>
      <c r="C4" s="2" t="s">
        <v>26</v>
      </c>
      <c r="D4" s="2" t="s">
        <v>13</v>
      </c>
      <c r="E4" s="2" t="s">
        <v>27</v>
      </c>
      <c r="F4" s="2" t="s">
        <v>28</v>
      </c>
      <c r="G4" s="2" t="s">
        <v>23</v>
      </c>
      <c r="H4" s="2" t="s">
        <v>24</v>
      </c>
      <c r="I4" s="3" t="s">
        <v>18</v>
      </c>
      <c r="J4" s="2"/>
    </row>
    <row r="5" spans="1:10" ht="39.6" x14ac:dyDescent="0.3">
      <c r="A5" s="2" t="s">
        <v>29</v>
      </c>
      <c r="B5" s="2" t="s">
        <v>11</v>
      </c>
      <c r="C5" s="2" t="s">
        <v>30</v>
      </c>
      <c r="D5" s="2" t="s">
        <v>13</v>
      </c>
      <c r="E5" s="2" t="s">
        <v>31</v>
      </c>
      <c r="F5" s="2" t="s">
        <v>32</v>
      </c>
      <c r="G5" s="2" t="s">
        <v>33</v>
      </c>
      <c r="H5" s="2" t="s">
        <v>24</v>
      </c>
      <c r="I5" s="3" t="s">
        <v>18</v>
      </c>
      <c r="J5" s="2"/>
    </row>
    <row r="6" spans="1:10" ht="39.6" x14ac:dyDescent="0.3">
      <c r="A6" s="2" t="s">
        <v>34</v>
      </c>
      <c r="B6" s="2" t="s">
        <v>11</v>
      </c>
      <c r="C6" s="2" t="s">
        <v>35</v>
      </c>
      <c r="D6" s="2" t="s">
        <v>13</v>
      </c>
      <c r="E6" s="2" t="s">
        <v>36</v>
      </c>
      <c r="F6" s="2" t="s">
        <v>37</v>
      </c>
      <c r="G6" s="2" t="s">
        <v>38</v>
      </c>
      <c r="H6" s="2" t="s">
        <v>24</v>
      </c>
      <c r="I6" s="3" t="s">
        <v>18</v>
      </c>
      <c r="J6" s="2"/>
    </row>
    <row r="7" spans="1:10" ht="26.4" x14ac:dyDescent="0.3">
      <c r="A7" s="2" t="s">
        <v>39</v>
      </c>
      <c r="B7" s="2" t="s">
        <v>11</v>
      </c>
      <c r="C7" s="2" t="s">
        <v>40</v>
      </c>
      <c r="D7" s="2" t="s">
        <v>13</v>
      </c>
      <c r="E7" s="2" t="s">
        <v>41</v>
      </c>
      <c r="F7" s="2" t="s">
        <v>42</v>
      </c>
      <c r="G7" s="2" t="s">
        <v>33</v>
      </c>
      <c r="H7" s="2" t="s">
        <v>24</v>
      </c>
      <c r="I7" s="3" t="s">
        <v>18</v>
      </c>
      <c r="J7" s="2"/>
    </row>
    <row r="8" spans="1:10" ht="39.6" x14ac:dyDescent="0.3">
      <c r="A8" s="2" t="s">
        <v>43</v>
      </c>
      <c r="B8" s="2" t="s">
        <v>11</v>
      </c>
      <c r="C8" s="2" t="s">
        <v>44</v>
      </c>
      <c r="D8" s="2" t="s">
        <v>13</v>
      </c>
      <c r="E8" s="2" t="s">
        <v>45</v>
      </c>
      <c r="F8" s="2" t="s">
        <v>46</v>
      </c>
      <c r="G8" s="2" t="s">
        <v>47</v>
      </c>
      <c r="H8" s="2" t="s">
        <v>24</v>
      </c>
      <c r="I8" s="3" t="s">
        <v>18</v>
      </c>
      <c r="J8" s="2"/>
    </row>
    <row r="9" spans="1:10" ht="39.6" x14ac:dyDescent="0.3">
      <c r="A9" s="2" t="s">
        <v>48</v>
      </c>
      <c r="B9" s="2" t="s">
        <v>11</v>
      </c>
      <c r="C9" s="2" t="s">
        <v>49</v>
      </c>
      <c r="D9" s="2" t="s">
        <v>13</v>
      </c>
      <c r="E9" s="2" t="s">
        <v>50</v>
      </c>
      <c r="F9" s="2" t="s">
        <v>51</v>
      </c>
      <c r="G9" s="2" t="s">
        <v>52</v>
      </c>
      <c r="H9" s="2" t="s">
        <v>53</v>
      </c>
      <c r="I9" s="3" t="s">
        <v>18</v>
      </c>
      <c r="J9" s="2"/>
    </row>
    <row r="10" spans="1:10" ht="39.6" x14ac:dyDescent="0.3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60</v>
      </c>
      <c r="H10" s="2" t="s">
        <v>61</v>
      </c>
      <c r="I10" s="3" t="s">
        <v>18</v>
      </c>
      <c r="J10" s="2"/>
    </row>
    <row r="11" spans="1:10" ht="26.4" x14ac:dyDescent="0.3">
      <c r="A11" s="2" t="s">
        <v>62</v>
      </c>
      <c r="B11" s="2" t="s">
        <v>55</v>
      </c>
      <c r="C11" s="2" t="s">
        <v>63</v>
      </c>
      <c r="D11" s="2" t="s">
        <v>57</v>
      </c>
      <c r="E11" s="2" t="s">
        <v>64</v>
      </c>
      <c r="F11" s="2" t="s">
        <v>59</v>
      </c>
      <c r="G11" s="2" t="s">
        <v>65</v>
      </c>
      <c r="H11" s="2" t="s">
        <v>66</v>
      </c>
      <c r="I11" s="3" t="s">
        <v>18</v>
      </c>
      <c r="J11" s="2"/>
    </row>
    <row r="12" spans="1:10" ht="26.4" x14ac:dyDescent="0.3">
      <c r="A12" s="2" t="s">
        <v>67</v>
      </c>
      <c r="B12" s="2" t="s">
        <v>55</v>
      </c>
      <c r="C12" s="2" t="s">
        <v>68</v>
      </c>
      <c r="D12" s="2" t="s">
        <v>57</v>
      </c>
      <c r="E12" s="2" t="s">
        <v>69</v>
      </c>
      <c r="F12" s="2" t="s">
        <v>59</v>
      </c>
      <c r="G12" s="2" t="s">
        <v>70</v>
      </c>
      <c r="H12" s="2" t="s">
        <v>66</v>
      </c>
      <c r="I12" s="3" t="s">
        <v>18</v>
      </c>
      <c r="J12" s="2"/>
    </row>
    <row r="13" spans="1:10" ht="26.4" x14ac:dyDescent="0.3">
      <c r="A13" s="2" t="s">
        <v>71</v>
      </c>
      <c r="B13" s="2" t="s">
        <v>55</v>
      </c>
      <c r="C13" s="2" t="s">
        <v>72</v>
      </c>
      <c r="D13" s="2" t="s">
        <v>57</v>
      </c>
      <c r="E13" s="2" t="s">
        <v>73</v>
      </c>
      <c r="F13" s="2" t="s">
        <v>59</v>
      </c>
      <c r="G13" s="2" t="s">
        <v>74</v>
      </c>
      <c r="H13" s="2" t="s">
        <v>66</v>
      </c>
      <c r="I13" s="3" t="s">
        <v>18</v>
      </c>
      <c r="J13" s="2"/>
    </row>
    <row r="14" spans="1:10" ht="26.4" x14ac:dyDescent="0.3">
      <c r="A14" s="2" t="s">
        <v>75</v>
      </c>
      <c r="B14" s="2" t="s">
        <v>55</v>
      </c>
      <c r="C14" s="2" t="s">
        <v>76</v>
      </c>
      <c r="D14" s="2" t="s">
        <v>57</v>
      </c>
      <c r="E14" s="2" t="s">
        <v>77</v>
      </c>
      <c r="F14" s="2" t="s">
        <v>59</v>
      </c>
      <c r="G14" s="2" t="s">
        <v>78</v>
      </c>
      <c r="H14" s="2" t="s">
        <v>66</v>
      </c>
      <c r="I14" s="3" t="s">
        <v>18</v>
      </c>
      <c r="J14" s="2"/>
    </row>
    <row r="15" spans="1:10" ht="39.6" x14ac:dyDescent="0.3">
      <c r="A15" s="2" t="s">
        <v>79</v>
      </c>
      <c r="B15" s="2" t="s">
        <v>80</v>
      </c>
      <c r="C15" s="2" t="s">
        <v>81</v>
      </c>
      <c r="D15" s="2" t="s">
        <v>57</v>
      </c>
      <c r="E15" s="2" t="s">
        <v>82</v>
      </c>
      <c r="F15" s="2" t="s">
        <v>59</v>
      </c>
      <c r="G15" s="2" t="s">
        <v>83</v>
      </c>
      <c r="H15" s="2" t="s">
        <v>84</v>
      </c>
      <c r="I15" s="3" t="s">
        <v>18</v>
      </c>
      <c r="J15" s="2"/>
    </row>
    <row r="16" spans="1:10" ht="26.4" x14ac:dyDescent="0.3">
      <c r="A16" s="2" t="s">
        <v>85</v>
      </c>
      <c r="B16" s="2" t="s">
        <v>86</v>
      </c>
      <c r="C16" s="2" t="s">
        <v>87</v>
      </c>
      <c r="D16" s="2" t="s">
        <v>57</v>
      </c>
      <c r="E16" s="2" t="s">
        <v>88</v>
      </c>
      <c r="F16" s="2" t="s">
        <v>59</v>
      </c>
      <c r="G16" s="2" t="s">
        <v>89</v>
      </c>
      <c r="H16" s="2" t="s">
        <v>84</v>
      </c>
      <c r="I16" s="3" t="s">
        <v>18</v>
      </c>
      <c r="J16" s="2"/>
    </row>
    <row r="17" spans="1:10" ht="26.4" x14ac:dyDescent="0.3">
      <c r="A17" s="2" t="s">
        <v>90</v>
      </c>
      <c r="B17" s="2" t="s">
        <v>86</v>
      </c>
      <c r="C17" s="2" t="s">
        <v>91</v>
      </c>
      <c r="D17" s="2" t="s">
        <v>57</v>
      </c>
      <c r="E17" s="2" t="s">
        <v>92</v>
      </c>
      <c r="F17" s="2" t="s">
        <v>59</v>
      </c>
      <c r="G17" s="2" t="s">
        <v>93</v>
      </c>
      <c r="H17" s="2" t="s">
        <v>84</v>
      </c>
      <c r="I17" s="3" t="s">
        <v>18</v>
      </c>
      <c r="J17" s="2"/>
    </row>
    <row r="18" spans="1:10" ht="39.6" x14ac:dyDescent="0.3">
      <c r="A18" s="2" t="s">
        <v>94</v>
      </c>
      <c r="B18" s="2" t="s">
        <v>86</v>
      </c>
      <c r="C18" s="2" t="s">
        <v>95</v>
      </c>
      <c r="D18" s="2" t="s">
        <v>96</v>
      </c>
      <c r="E18" s="2" t="s">
        <v>97</v>
      </c>
      <c r="F18" s="2" t="s">
        <v>59</v>
      </c>
      <c r="G18" s="2" t="s">
        <v>98</v>
      </c>
      <c r="H18" s="2" t="s">
        <v>84</v>
      </c>
      <c r="I18" s="3" t="s">
        <v>18</v>
      </c>
      <c r="J18" s="2"/>
    </row>
    <row r="19" spans="1:10" ht="39.6" x14ac:dyDescent="0.3">
      <c r="A19" s="2" t="s">
        <v>99</v>
      </c>
      <c r="B19" s="2" t="s">
        <v>86</v>
      </c>
      <c r="C19" s="2" t="s">
        <v>100</v>
      </c>
      <c r="D19" s="2" t="s">
        <v>101</v>
      </c>
      <c r="E19" s="2" t="s">
        <v>102</v>
      </c>
      <c r="F19" s="2" t="s">
        <v>59</v>
      </c>
      <c r="G19" s="2" t="s">
        <v>103</v>
      </c>
      <c r="H19" s="2" t="s">
        <v>84</v>
      </c>
      <c r="I19" s="3" t="s">
        <v>18</v>
      </c>
      <c r="J19" s="2"/>
    </row>
    <row r="20" spans="1:10" ht="39.6" x14ac:dyDescent="0.3">
      <c r="A20" s="2" t="s">
        <v>104</v>
      </c>
      <c r="B20" s="2" t="s">
        <v>86</v>
      </c>
      <c r="C20" s="2" t="s">
        <v>105</v>
      </c>
      <c r="D20" s="2" t="s">
        <v>96</v>
      </c>
      <c r="E20" s="2" t="s">
        <v>106</v>
      </c>
      <c r="F20" s="2" t="s">
        <v>59</v>
      </c>
      <c r="G20" s="2" t="s">
        <v>107</v>
      </c>
      <c r="H20" s="2" t="s">
        <v>84</v>
      </c>
      <c r="I20" s="3" t="s">
        <v>18</v>
      </c>
      <c r="J20" s="2"/>
    </row>
    <row r="21" spans="1:10" ht="26.4" x14ac:dyDescent="0.3">
      <c r="A21" s="2" t="s">
        <v>108</v>
      </c>
      <c r="B21" s="2" t="s">
        <v>86</v>
      </c>
      <c r="C21" s="2" t="s">
        <v>109</v>
      </c>
      <c r="D21" s="2" t="s">
        <v>57</v>
      </c>
      <c r="E21" s="2" t="s">
        <v>110</v>
      </c>
      <c r="F21" s="2" t="s">
        <v>59</v>
      </c>
      <c r="G21" s="2" t="s">
        <v>111</v>
      </c>
      <c r="H21" s="2" t="s">
        <v>84</v>
      </c>
      <c r="I21" s="3" t="s">
        <v>18</v>
      </c>
      <c r="J21" s="2"/>
    </row>
    <row r="22" spans="1:10" ht="66" x14ac:dyDescent="0.3">
      <c r="A22" s="2" t="s">
        <v>112</v>
      </c>
      <c r="B22" s="2" t="s">
        <v>113</v>
      </c>
      <c r="C22" s="2" t="s">
        <v>114</v>
      </c>
      <c r="D22" s="2" t="s">
        <v>115</v>
      </c>
      <c r="E22" s="2" t="s">
        <v>116</v>
      </c>
      <c r="F22" s="2" t="s">
        <v>117</v>
      </c>
      <c r="G22" s="2" t="s">
        <v>118</v>
      </c>
      <c r="H22" s="2" t="s">
        <v>84</v>
      </c>
      <c r="I22" s="3" t="s">
        <v>18</v>
      </c>
      <c r="J22" s="2"/>
    </row>
    <row r="23" spans="1:10" ht="39.6" x14ac:dyDescent="0.3">
      <c r="A23" s="2" t="s">
        <v>119</v>
      </c>
      <c r="B23" s="2" t="s">
        <v>113</v>
      </c>
      <c r="C23" s="2" t="s">
        <v>120</v>
      </c>
      <c r="D23" s="2" t="s">
        <v>121</v>
      </c>
      <c r="E23" s="2" t="s">
        <v>122</v>
      </c>
      <c r="F23" s="2" t="s">
        <v>123</v>
      </c>
      <c r="G23" s="2" t="s">
        <v>124</v>
      </c>
      <c r="H23" s="2" t="s">
        <v>24</v>
      </c>
      <c r="I23" s="3" t="s">
        <v>18</v>
      </c>
      <c r="J23" s="2"/>
    </row>
    <row r="24" spans="1:10" ht="39.6" x14ac:dyDescent="0.3">
      <c r="A24" s="2" t="s">
        <v>125</v>
      </c>
      <c r="B24" s="2" t="s">
        <v>113</v>
      </c>
      <c r="C24" s="2" t="s">
        <v>126</v>
      </c>
      <c r="D24" s="2" t="s">
        <v>121</v>
      </c>
      <c r="E24" s="2" t="s">
        <v>127</v>
      </c>
      <c r="F24" s="2" t="s">
        <v>128</v>
      </c>
      <c r="G24" s="2" t="s">
        <v>129</v>
      </c>
      <c r="H24" s="2" t="s">
        <v>24</v>
      </c>
      <c r="I24" s="3" t="s">
        <v>18</v>
      </c>
      <c r="J24" s="2"/>
    </row>
    <row r="25" spans="1:10" ht="39.6" x14ac:dyDescent="0.3">
      <c r="A25" s="2" t="s">
        <v>130</v>
      </c>
      <c r="B25" s="2" t="s">
        <v>113</v>
      </c>
      <c r="C25" s="2" t="s">
        <v>131</v>
      </c>
      <c r="D25" s="2" t="s">
        <v>121</v>
      </c>
      <c r="E25" s="2" t="s">
        <v>132</v>
      </c>
      <c r="F25" s="2" t="s">
        <v>133</v>
      </c>
      <c r="G25" s="2" t="s">
        <v>134</v>
      </c>
      <c r="H25" s="2" t="s">
        <v>24</v>
      </c>
      <c r="I25" s="3" t="s">
        <v>18</v>
      </c>
      <c r="J25" s="2"/>
    </row>
    <row r="26" spans="1:10" ht="39.6" x14ac:dyDescent="0.3">
      <c r="A26" s="2" t="s">
        <v>135</v>
      </c>
      <c r="B26" s="2" t="s">
        <v>113</v>
      </c>
      <c r="C26" s="2" t="s">
        <v>136</v>
      </c>
      <c r="D26" s="2" t="s">
        <v>121</v>
      </c>
      <c r="E26" s="2" t="s">
        <v>137</v>
      </c>
      <c r="F26" s="2" t="s">
        <v>59</v>
      </c>
      <c r="G26" s="2" t="s">
        <v>138</v>
      </c>
      <c r="H26" s="2" t="s">
        <v>84</v>
      </c>
      <c r="I26" s="3" t="s">
        <v>18</v>
      </c>
      <c r="J26" s="2"/>
    </row>
    <row r="27" spans="1:10" ht="39.6" x14ac:dyDescent="0.3">
      <c r="A27" s="2" t="s">
        <v>139</v>
      </c>
      <c r="B27" s="2" t="s">
        <v>113</v>
      </c>
      <c r="C27" s="2" t="s">
        <v>140</v>
      </c>
      <c r="D27" s="2" t="s">
        <v>141</v>
      </c>
      <c r="E27" s="2" t="s">
        <v>142</v>
      </c>
      <c r="F27" s="2" t="s">
        <v>59</v>
      </c>
      <c r="G27" s="2" t="s">
        <v>143</v>
      </c>
      <c r="H27" s="2" t="s">
        <v>84</v>
      </c>
      <c r="I27" s="3" t="s">
        <v>18</v>
      </c>
      <c r="J27" s="2"/>
    </row>
    <row r="28" spans="1:10" ht="39.6" x14ac:dyDescent="0.3">
      <c r="A28" s="2" t="s">
        <v>144</v>
      </c>
      <c r="B28" s="2" t="s">
        <v>113</v>
      </c>
      <c r="C28" s="2" t="s">
        <v>145</v>
      </c>
      <c r="D28" s="2" t="s">
        <v>146</v>
      </c>
      <c r="E28" s="2" t="s">
        <v>147</v>
      </c>
      <c r="F28" s="2" t="s">
        <v>59</v>
      </c>
      <c r="G28" s="2" t="s">
        <v>148</v>
      </c>
      <c r="H28" s="2" t="s">
        <v>84</v>
      </c>
      <c r="I28" s="3" t="s">
        <v>18</v>
      </c>
      <c r="J28" s="2"/>
    </row>
    <row r="29" spans="1:10" ht="26.4" x14ac:dyDescent="0.3">
      <c r="A29" s="2" t="s">
        <v>149</v>
      </c>
      <c r="B29" s="2" t="s">
        <v>150</v>
      </c>
      <c r="C29" s="2" t="s">
        <v>151</v>
      </c>
      <c r="D29" s="2" t="s">
        <v>57</v>
      </c>
      <c r="E29" s="2" t="s">
        <v>152</v>
      </c>
      <c r="F29" s="2" t="s">
        <v>59</v>
      </c>
      <c r="G29" s="2" t="s">
        <v>153</v>
      </c>
      <c r="H29" s="2" t="s">
        <v>84</v>
      </c>
      <c r="I29" s="3" t="s">
        <v>18</v>
      </c>
      <c r="J29" s="2"/>
    </row>
    <row r="30" spans="1:10" ht="26.4" x14ac:dyDescent="0.3">
      <c r="A30" s="2" t="s">
        <v>154</v>
      </c>
      <c r="B30" s="2" t="s">
        <v>150</v>
      </c>
      <c r="C30" s="2" t="s">
        <v>155</v>
      </c>
      <c r="D30" s="2" t="s">
        <v>156</v>
      </c>
      <c r="E30" s="2" t="s">
        <v>157</v>
      </c>
      <c r="F30" s="2" t="s">
        <v>59</v>
      </c>
      <c r="G30" s="2" t="s">
        <v>158</v>
      </c>
      <c r="H30" s="2" t="s">
        <v>84</v>
      </c>
      <c r="I30" s="3" t="s">
        <v>18</v>
      </c>
      <c r="J30" s="2"/>
    </row>
    <row r="31" spans="1:10" ht="39.6" x14ac:dyDescent="0.3">
      <c r="A31" s="2" t="s">
        <v>161</v>
      </c>
      <c r="B31" s="2" t="s">
        <v>55</v>
      </c>
      <c r="C31" s="2" t="s">
        <v>162</v>
      </c>
      <c r="D31" s="2" t="s">
        <v>163</v>
      </c>
      <c r="E31" s="2" t="s">
        <v>164</v>
      </c>
      <c r="F31" s="2" t="s">
        <v>165</v>
      </c>
      <c r="G31" s="2" t="s">
        <v>166</v>
      </c>
      <c r="H31" s="2" t="s">
        <v>167</v>
      </c>
      <c r="I31" s="4" t="s">
        <v>159</v>
      </c>
      <c r="J31" s="2" t="s">
        <v>160</v>
      </c>
    </row>
  </sheetData>
  <autoFilter ref="A1:J3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11" customWidth="1"/>
    <col min="3" max="3" width="26" customWidth="1"/>
    <col min="4" max="4" width="40" customWidth="1"/>
    <col min="5" max="6" width="30" customWidth="1"/>
    <col min="7" max="9" width="11" customWidth="1"/>
  </cols>
  <sheetData>
    <row r="1" spans="1:9" ht="27.75" customHeight="1" x14ac:dyDescent="0.3">
      <c r="A1" s="1" t="s">
        <v>169</v>
      </c>
      <c r="B1" s="1" t="s">
        <v>170</v>
      </c>
      <c r="C1" s="1" t="s">
        <v>171</v>
      </c>
      <c r="D1" s="1" t="s">
        <v>172</v>
      </c>
      <c r="E1" s="1" t="s">
        <v>6</v>
      </c>
      <c r="F1" s="1" t="s">
        <v>7</v>
      </c>
      <c r="G1" s="1" t="s">
        <v>173</v>
      </c>
      <c r="H1" s="1" t="s">
        <v>174</v>
      </c>
      <c r="I1" s="1" t="s">
        <v>8</v>
      </c>
    </row>
    <row r="2" spans="1:9" ht="52.8" x14ac:dyDescent="0.3">
      <c r="A2" s="2" t="s">
        <v>175</v>
      </c>
      <c r="B2" s="2" t="s">
        <v>161</v>
      </c>
      <c r="C2" s="2" t="s">
        <v>176</v>
      </c>
      <c r="D2" s="2" t="s">
        <v>177</v>
      </c>
      <c r="E2" s="2" t="s">
        <v>178</v>
      </c>
      <c r="F2" s="2" t="s">
        <v>179</v>
      </c>
      <c r="G2" s="2" t="s">
        <v>168</v>
      </c>
      <c r="H2" s="2" t="s">
        <v>168</v>
      </c>
      <c r="I2" s="2" t="s">
        <v>180</v>
      </c>
    </row>
    <row r="3" spans="1:9" ht="66" x14ac:dyDescent="0.3">
      <c r="A3" s="2" t="s">
        <v>181</v>
      </c>
      <c r="B3" s="2" t="s">
        <v>154</v>
      </c>
      <c r="C3" s="2" t="s">
        <v>182</v>
      </c>
      <c r="D3" s="2" t="s">
        <v>183</v>
      </c>
      <c r="E3" s="2" t="s">
        <v>184</v>
      </c>
      <c r="F3" s="2" t="s">
        <v>185</v>
      </c>
      <c r="G3" s="2" t="s">
        <v>160</v>
      </c>
      <c r="H3" s="2" t="s">
        <v>160</v>
      </c>
      <c r="I3" s="2" t="s">
        <v>180</v>
      </c>
    </row>
  </sheetData>
  <autoFilter ref="A1:I3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20" customWidth="1"/>
  </cols>
  <sheetData>
    <row r="1" spans="1:2" ht="21" x14ac:dyDescent="0.4">
      <c r="A1" s="8" t="s">
        <v>186</v>
      </c>
      <c r="B1" s="8"/>
    </row>
    <row r="2" spans="1:2" x14ac:dyDescent="0.3">
      <c r="A2" s="9" t="s">
        <v>187</v>
      </c>
      <c r="B2" s="9"/>
    </row>
    <row r="4" spans="1:2" x14ac:dyDescent="0.3">
      <c r="A4" s="5" t="s">
        <v>188</v>
      </c>
      <c r="B4" s="6">
        <f>COUNTA('Test Cases'!A2:A31)</f>
        <v>30</v>
      </c>
    </row>
    <row r="5" spans="1:2" x14ac:dyDescent="0.3">
      <c r="A5" s="5" t="s">
        <v>189</v>
      </c>
      <c r="B5" s="6">
        <f>COUNTIF('Test Cases'!I2:I31,"Pass")</f>
        <v>29</v>
      </c>
    </row>
    <row r="6" spans="1:2" x14ac:dyDescent="0.3">
      <c r="A6" s="5" t="s">
        <v>190</v>
      </c>
      <c r="B6" s="6">
        <f>COUNTIF('Test Cases'!I2:I31,"Fail")</f>
        <v>1</v>
      </c>
    </row>
    <row r="7" spans="1:2" x14ac:dyDescent="0.3">
      <c r="A7" s="5" t="s">
        <v>191</v>
      </c>
      <c r="B7" s="7">
        <f>B5/B4</f>
        <v>0.96666666666666667</v>
      </c>
    </row>
    <row r="8" spans="1:2" x14ac:dyDescent="0.3">
      <c r="A8" s="5" t="s">
        <v>192</v>
      </c>
      <c r="B8" s="6">
        <f>COUNTA('Bug Reports'!A2:A3)</f>
        <v>2</v>
      </c>
    </row>
    <row r="9" spans="1:2" x14ac:dyDescent="0.3">
      <c r="A9" s="5" t="s">
        <v>193</v>
      </c>
      <c r="B9" s="6">
        <f>COUNTIF('Bug Reports'!G2:G3,"Critical")</f>
        <v>0</v>
      </c>
    </row>
    <row r="10" spans="1:2" x14ac:dyDescent="0.3">
      <c r="A10" s="5" t="s">
        <v>194</v>
      </c>
      <c r="B10" s="6">
        <f>COUNTIF('Bug Reports'!G2:G3,"High")</f>
        <v>0</v>
      </c>
    </row>
    <row r="11" spans="1:2" x14ac:dyDescent="0.3">
      <c r="A11" s="5" t="s">
        <v>195</v>
      </c>
      <c r="B11" s="6">
        <f>COUNTIF('Bug Reports'!G2:G3,"Medium")</f>
        <v>1</v>
      </c>
    </row>
    <row r="12" spans="1:2" x14ac:dyDescent="0.3">
      <c r="A12" s="5" t="s">
        <v>196</v>
      </c>
      <c r="B12" s="6">
        <f>COUNTIF('Bug Reports'!G2:G3,"Low")</f>
        <v>1</v>
      </c>
    </row>
    <row r="15" spans="1:2" ht="15" customHeight="1" x14ac:dyDescent="0.3">
      <c r="A15" s="10" t="s">
        <v>197</v>
      </c>
      <c r="B15" s="10"/>
    </row>
    <row r="16" spans="1:2" x14ac:dyDescent="0.3">
      <c r="A16" s="10"/>
      <c r="B16" s="10"/>
    </row>
    <row r="17" spans="1:2" x14ac:dyDescent="0.3">
      <c r="A17" s="10"/>
      <c r="B17" s="10"/>
    </row>
    <row r="18" spans="1:2" x14ac:dyDescent="0.3">
      <c r="A18" s="10"/>
      <c r="B18" s="10"/>
    </row>
    <row r="19" spans="1:2" x14ac:dyDescent="0.3">
      <c r="A19" s="10"/>
      <c r="B19" s="10"/>
    </row>
  </sheetData>
  <mergeCells count="3">
    <mergeCell ref="A1:B1"/>
    <mergeCell ref="A2:B2"/>
    <mergeCell ref="A15:B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Bug Reports</vt:lpstr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206140307005</cp:lastModifiedBy>
  <cp:revision>0</cp:revision>
  <dcterms:created xsi:type="dcterms:W3CDTF">2026-09-15T14:15:17Z</dcterms:created>
  <dcterms:modified xsi:type="dcterms:W3CDTF">2026-09-20T17:14:34Z</dcterms:modified>
  <dc:language>en-US</dc:language>
</cp:coreProperties>
</file>